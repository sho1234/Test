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6" i="1" l="1"/>
  <c r="E7" i="1"/>
  <c r="E8" i="1"/>
  <c r="E5" i="1"/>
  <c r="E4" i="1"/>
  <c r="C6" i="1"/>
  <c r="C5" i="1" l="1"/>
  <c r="C4" i="1"/>
  <c r="C7" i="1"/>
</calcChain>
</file>

<file path=xl/sharedStrings.xml><?xml version="1.0" encoding="utf-8"?>
<sst xmlns="http://schemas.openxmlformats.org/spreadsheetml/2006/main" count="22" uniqueCount="22">
  <si>
    <t>進捗率</t>
    <rPh sb="0" eb="2">
      <t>シンチョク</t>
    </rPh>
    <rPh sb="2" eb="3">
      <t>リツ</t>
    </rPh>
    <phoneticPr fontId="2"/>
  </si>
  <si>
    <t>総項目</t>
    <rPh sb="0" eb="1">
      <t>ソウ</t>
    </rPh>
    <rPh sb="1" eb="3">
      <t>コウモク</t>
    </rPh>
    <phoneticPr fontId="2"/>
  </si>
  <si>
    <t>OK</t>
  </si>
  <si>
    <t>NG</t>
  </si>
  <si>
    <t>未実施</t>
    <rPh sb="0" eb="3">
      <t>ミジッシ</t>
    </rPh>
    <phoneticPr fontId="2"/>
  </si>
  <si>
    <t>前提条件</t>
    <rPh sb="0" eb="2">
      <t>ゼンテイ</t>
    </rPh>
    <rPh sb="2" eb="4">
      <t>ジョウケン</t>
    </rPh>
    <phoneticPr fontId="2"/>
  </si>
  <si>
    <t>評価手順</t>
    <rPh sb="0" eb="2">
      <t>ヒョウカ</t>
    </rPh>
    <rPh sb="2" eb="4">
      <t>テジュン</t>
    </rPh>
    <phoneticPr fontId="2"/>
  </si>
  <si>
    <t>期待結果</t>
    <rPh sb="0" eb="2">
      <t>キタイ</t>
    </rPh>
    <rPh sb="2" eb="4">
      <t>ケッカ</t>
    </rPh>
    <phoneticPr fontId="2"/>
  </si>
  <si>
    <t>テスト結果</t>
  </si>
  <si>
    <t>結果</t>
    <rPh sb="0" eb="2">
      <t>ケッカ</t>
    </rPh>
    <phoneticPr fontId="2"/>
  </si>
  <si>
    <t>実施日</t>
    <rPh sb="0" eb="2">
      <t>ジッシ</t>
    </rPh>
    <rPh sb="2" eb="3">
      <t>ビ</t>
    </rPh>
    <phoneticPr fontId="2"/>
  </si>
  <si>
    <t>名前</t>
    <rPh sb="0" eb="2">
      <t>ナマエ</t>
    </rPh>
    <phoneticPr fontId="2"/>
  </si>
  <si>
    <t>テスト名称</t>
    <rPh sb="3" eb="5">
      <t>メイショウ</t>
    </rPh>
    <phoneticPr fontId="45"/>
  </si>
  <si>
    <t>QA</t>
    <phoneticPr fontId="45"/>
  </si>
  <si>
    <t>NT</t>
    <phoneticPr fontId="45"/>
  </si>
  <si>
    <t>NT_NG</t>
    <phoneticPr fontId="2"/>
  </si>
  <si>
    <t>OK/NG判定率</t>
    <rPh sb="5" eb="7">
      <t>ハンテイ</t>
    </rPh>
    <rPh sb="7" eb="8">
      <t>リツ</t>
    </rPh>
    <phoneticPr fontId="2"/>
  </si>
  <si>
    <t>条件1</t>
    <rPh sb="0" eb="2">
      <t>ジョウケン</t>
    </rPh>
    <phoneticPr fontId="45"/>
  </si>
  <si>
    <t>条件2</t>
    <rPh sb="0" eb="2">
      <t>ジョウケン</t>
    </rPh>
    <phoneticPr fontId="45"/>
  </si>
  <si>
    <t>質問・備考</t>
    <rPh sb="0" eb="2">
      <t>シツモン</t>
    </rPh>
    <rPh sb="3" eb="5">
      <t>ビコウ</t>
    </rPh>
    <phoneticPr fontId="2"/>
  </si>
  <si>
    <t>不具合No.</t>
    <rPh sb="0" eb="3">
      <t>フグアイ</t>
    </rPh>
    <phoneticPr fontId="45"/>
  </si>
  <si>
    <t>テストケースNo.</t>
    <phoneticPr fontId="4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</si>
</sst>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46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Arial"/>
      <family val="2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9">
    <xf numFmtId="0" fontId="0" fillId="0" borderId="0"/>
    <xf numFmtId="0" fontId="1" fillId="0" borderId="0">
      <alignment vertical="center"/>
    </xf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0" borderId="0" applyBorder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7" fillId="0" borderId="0"/>
    <xf numFmtId="0" fontId="21" fillId="0" borderId="0"/>
    <xf numFmtId="0" fontId="1" fillId="0" borderId="0"/>
    <xf numFmtId="0" fontId="21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2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6" fillId="23" borderId="7" applyNumberFormat="0" applyFon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20" borderId="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20" borderId="8" applyNumberFormat="0" applyAlignment="0" applyProtection="0">
      <alignment vertical="center"/>
    </xf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2" fillId="7" borderId="1" applyNumberForma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3" fillId="0" borderId="0"/>
    <xf numFmtId="0" fontId="21" fillId="0" borderId="0"/>
    <xf numFmtId="0" fontId="6" fillId="0" borderId="0">
      <alignment vertical="center"/>
    </xf>
    <xf numFmtId="0" fontId="1" fillId="0" borderId="0"/>
    <xf numFmtId="0" fontId="1" fillId="0" borderId="0" applyBorder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4" borderId="0" applyNumberFormat="0" applyBorder="0" applyAlignment="0" applyProtection="0">
      <alignment vertical="center"/>
    </xf>
  </cellStyleXfs>
  <cellXfs count="26">
    <xf numFmtId="0" fontId="0" fillId="0" borderId="0" xfId="0"/>
    <xf numFmtId="0" fontId="5" fillId="26" borderId="10" xfId="105" applyFont="1" applyFill="1" applyBorder="1" applyAlignment="1">
      <alignment vertical="center"/>
    </xf>
    <xf numFmtId="0" fontId="5" fillId="26" borderId="10" xfId="105" applyFont="1" applyFill="1" applyBorder="1" applyAlignment="1">
      <alignment vertical="center" wrapText="1"/>
    </xf>
    <xf numFmtId="0" fontId="5" fillId="25" borderId="10" xfId="97" applyFont="1" applyFill="1" applyBorder="1" applyAlignment="1">
      <alignment horizontal="center" vertical="center" wrapText="1"/>
    </xf>
    <xf numFmtId="0" fontId="1" fillId="0" borderId="0" xfId="94">
      <alignment vertical="center"/>
    </xf>
    <xf numFmtId="0" fontId="3" fillId="0" borderId="0" xfId="106" applyFont="1" applyAlignment="1">
      <alignment vertical="center"/>
    </xf>
    <xf numFmtId="0" fontId="3" fillId="0" borderId="0" xfId="106" applyFont="1" applyAlignment="1">
      <alignment horizontal="center" vertical="center"/>
    </xf>
    <xf numFmtId="0" fontId="4" fillId="0" borderId="0" xfId="106" applyFont="1" applyAlignment="1">
      <alignment vertical="center"/>
    </xf>
    <xf numFmtId="0" fontId="5" fillId="0" borderId="0" xfId="106" applyFont="1" applyAlignment="1">
      <alignment vertical="center"/>
    </xf>
    <xf numFmtId="0" fontId="3" fillId="0" borderId="0" xfId="107" applyFont="1" applyAlignment="1">
      <alignment vertical="center"/>
    </xf>
    <xf numFmtId="0" fontId="3" fillId="0" borderId="0" xfId="107" applyFont="1" applyAlignment="1">
      <alignment horizontal="center" vertical="center"/>
    </xf>
    <xf numFmtId="176" fontId="3" fillId="0" borderId="10" xfId="75" applyNumberFormat="1" applyFont="1" applyBorder="1" applyAlignment="1">
      <alignment horizontal="center" vertical="center"/>
    </xf>
    <xf numFmtId="0" fontId="3" fillId="0" borderId="10" xfId="97" applyFont="1" applyBorder="1" applyAlignment="1">
      <alignment horizontal="center" vertical="center"/>
    </xf>
    <xf numFmtId="0" fontId="3" fillId="0" borderId="10" xfId="106" applyNumberFormat="1" applyFont="1" applyFill="1" applyBorder="1" applyAlignment="1">
      <alignment horizontal="center" vertical="center"/>
    </xf>
    <xf numFmtId="0" fontId="3" fillId="0" borderId="10" xfId="94" applyFont="1" applyFill="1" applyBorder="1" applyAlignment="1">
      <alignment horizontal="center" vertical="center"/>
    </xf>
    <xf numFmtId="0" fontId="3" fillId="0" borderId="10" xfId="94" applyFont="1" applyBorder="1">
      <alignment vertical="center"/>
    </xf>
    <xf numFmtId="0" fontId="3" fillId="0" borderId="10" xfId="106" applyFont="1" applyFill="1" applyBorder="1" applyAlignment="1">
      <alignment vertical="center" wrapText="1"/>
    </xf>
    <xf numFmtId="0" fontId="3" fillId="0" borderId="10" xfId="106" applyFont="1" applyFill="1" applyBorder="1" applyAlignment="1">
      <alignment horizontal="center" vertical="center" wrapText="1"/>
    </xf>
    <xf numFmtId="0" fontId="5" fillId="26" borderId="10" xfId="106" applyFont="1" applyFill="1" applyBorder="1" applyAlignment="1">
      <alignment horizontal="center" vertical="center"/>
    </xf>
    <xf numFmtId="0" fontId="5" fillId="26" borderId="10" xfId="106" applyFont="1" applyFill="1" applyBorder="1" applyAlignment="1">
      <alignment horizontal="center" vertical="center" wrapText="1"/>
    </xf>
    <xf numFmtId="0" fontId="5" fillId="26" borderId="13" xfId="106" applyFont="1" applyFill="1" applyBorder="1" applyAlignment="1">
      <alignment horizontal="center" vertical="center" wrapText="1"/>
    </xf>
    <xf numFmtId="0" fontId="5" fillId="26" borderId="14" xfId="106" applyFont="1" applyFill="1" applyBorder="1" applyAlignment="1">
      <alignment horizontal="center" vertical="center" wrapText="1"/>
    </xf>
    <xf numFmtId="0" fontId="5" fillId="26" borderId="10" xfId="106" applyFont="1" applyFill="1" applyBorder="1" applyAlignment="1">
      <alignment horizontal="center" vertical="center" wrapText="1"/>
    </xf>
    <xf numFmtId="0" fontId="5" fillId="24" borderId="12" xfId="106" applyFont="1" applyFill="1" applyBorder="1" applyAlignment="1">
      <alignment horizontal="center" vertical="center"/>
    </xf>
    <xf numFmtId="0" fontId="5" fillId="24" borderId="11" xfId="106" applyFont="1" applyFill="1" applyBorder="1" applyAlignment="1">
      <alignment horizontal="center" vertical="center"/>
    </xf>
    <xf numFmtId="0" fontId="5" fillId="25" borderId="10" xfId="97" applyFont="1" applyFill="1" applyBorder="1" applyAlignment="1">
      <alignment horizontal="center" vertical="center"/>
    </xf>
  </cellXfs>
  <cellStyles count="109">
    <cellStyle name="20% - Accent1" xfId="2"/>
    <cellStyle name="20% - Accent1 5" xfId="3"/>
    <cellStyle name="20% - Accent2" xfId="4"/>
    <cellStyle name="20% - Accent3" xfId="5"/>
    <cellStyle name="20% - Accent4" xfId="6"/>
    <cellStyle name="20% - Accent5" xfId="7"/>
    <cellStyle name="20% - Accent6" xfId="8"/>
    <cellStyle name="20% - アクセント 1 2" xfId="9"/>
    <cellStyle name="20% - アクセント 2 2" xfId="10"/>
    <cellStyle name="20% - アクセント 3 2" xfId="11"/>
    <cellStyle name="20% - アクセント 4 2" xfId="12"/>
    <cellStyle name="20% - アクセント 5 2" xfId="13"/>
    <cellStyle name="20% - アクセント 6 2" xfId="14"/>
    <cellStyle name="323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アクセント 1 2" xfId="22"/>
    <cellStyle name="40% - アクセント 2 2" xfId="23"/>
    <cellStyle name="40% - アクセント 3 2" xfId="24"/>
    <cellStyle name="40% - アクセント 4 2" xfId="25"/>
    <cellStyle name="40% - アクセント 5 2" xfId="26"/>
    <cellStyle name="40% - アクセント 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アクセント 1 2" xfId="34"/>
    <cellStyle name="60% - アクセント 2 2" xfId="35"/>
    <cellStyle name="60% - アクセント 3 2" xfId="36"/>
    <cellStyle name="60% - アクセント 4 2" xfId="37"/>
    <cellStyle name="60% - アクセント 5 2" xfId="38"/>
    <cellStyle name="60% - アクセント 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Calculation" xfId="47"/>
    <cellStyle name="Check Cell" xfId="48"/>
    <cellStyle name="Explanatory Text" xfId="49"/>
    <cellStyle name="Good" xfId="50"/>
    <cellStyle name="Heading 1" xfId="51"/>
    <cellStyle name="Heading 2" xfId="52"/>
    <cellStyle name="Heading 3" xfId="53"/>
    <cellStyle name="Heading 4" xfId="54"/>
    <cellStyle name="Input" xfId="55"/>
    <cellStyle name="Linked Cell" xfId="56"/>
    <cellStyle name="Neutral" xfId="57"/>
    <cellStyle name="Normal 2" xfId="58"/>
    <cellStyle name="Normal 5" xfId="59"/>
    <cellStyle name="Normal_Pegasus-001_XPS_Driver_修正" xfId="60"/>
    <cellStyle name="Note" xfId="61"/>
    <cellStyle name="Output" xfId="62"/>
    <cellStyle name="Title" xfId="63"/>
    <cellStyle name="Total" xfId="64"/>
    <cellStyle name="Warning Text" xfId="65"/>
    <cellStyle name="アクセント 1 2" xfId="66"/>
    <cellStyle name="アクセント 2 2" xfId="67"/>
    <cellStyle name="アクセント 3 2" xfId="68"/>
    <cellStyle name="アクセント 4 2" xfId="69"/>
    <cellStyle name="アクセント 5 2" xfId="70"/>
    <cellStyle name="アクセント 6 2" xfId="71"/>
    <cellStyle name="タイトル 2" xfId="72"/>
    <cellStyle name="チェック セル 2" xfId="73"/>
    <cellStyle name="どちらでもない 2" xfId="74"/>
    <cellStyle name="パーセント 2" xfId="76"/>
    <cellStyle name="パーセント 3" xfId="75"/>
    <cellStyle name="ハイパーリンク 2" xfId="77"/>
    <cellStyle name="ハイパーリンク 3" xfId="78"/>
    <cellStyle name="メモ 2" xfId="79"/>
    <cellStyle name="リンク セル 2" xfId="80"/>
    <cellStyle name="悪い 2" xfId="81"/>
    <cellStyle name="一般_Amber Network behavior" xfId="82"/>
    <cellStyle name="計算 2" xfId="83"/>
    <cellStyle name="警告文 2" xfId="84"/>
    <cellStyle name="見出し 1 2" xfId="85"/>
    <cellStyle name="見出し 2 2" xfId="86"/>
    <cellStyle name="見出し 3 2" xfId="87"/>
    <cellStyle name="見出し 4 2" xfId="88"/>
    <cellStyle name="集計 2" xfId="89"/>
    <cellStyle name="出力 2" xfId="90"/>
    <cellStyle name="常规_CHS StrRes" xfId="91"/>
    <cellStyle name="説明文 2" xfId="92"/>
    <cellStyle name="入力 2" xfId="93"/>
    <cellStyle name="標準" xfId="0" builtinId="0"/>
    <cellStyle name="標準 2" xfId="94"/>
    <cellStyle name="標準 2 2" xfId="95"/>
    <cellStyle name="標準 2_Pegasus-001_XPS_Driver_Win7_修正" xfId="96"/>
    <cellStyle name="標準 2_QE_CD_Install_Ver評価_110124_終了" xfId="97"/>
    <cellStyle name="標準 3" xfId="98"/>
    <cellStyle name="標準 3 2" xfId="99"/>
    <cellStyle name="標準 3_Pegasus-001_XPS_Driver_Win7_修正" xfId="100"/>
    <cellStyle name="標準 4" xfId="101"/>
    <cellStyle name="標準 4 2" xfId="102"/>
    <cellStyle name="標準 4_Pegasus-001_XPS_Driver_Win7_修正" xfId="103"/>
    <cellStyle name="標準 5" xfId="104"/>
    <cellStyle name="標準 6" xfId="1"/>
    <cellStyle name="標準_OKI_Printer Driver_Install_Win_1003_吉田_QE_GM_CD評価" xfId="105"/>
    <cellStyle name="標準_QE_CD_Install_Ver評価_110124_終了" xfId="106"/>
    <cellStyle name="標準_テストシート_071015_Citrine-AIO_CSIC_Control_100406_QE_GM_CD評価" xfId="107"/>
    <cellStyle name="良い 2" xfId="10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1"/>
  <sheetViews>
    <sheetView tabSelected="1" zoomScale="160" zoomScaleNormal="160" workbookViewId="0">
      <selection activeCell="E18" sqref="E18"/>
    </sheetView>
  </sheetViews>
  <sheetFormatPr defaultRowHeight="13.5"/>
  <cols>
    <col min="1" max="1" width="2.75" customWidth="1"/>
    <col min="2" max="2" width="13.875" bestFit="1" customWidth="1"/>
    <col min="5" max="6" width="26.875" customWidth="1"/>
    <col min="11" max="11" width="17.875" customWidth="1"/>
  </cols>
  <sheetData>
    <row r="2" spans="2:26" ht="14.25">
      <c r="B2" s="7" t="s">
        <v>12</v>
      </c>
      <c r="C2" s="7"/>
      <c r="D2" s="7"/>
      <c r="E2" s="7"/>
      <c r="F2" s="7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2:26" ht="14.25">
      <c r="B3" s="7"/>
      <c r="C3" s="7"/>
      <c r="D3" s="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2:26">
      <c r="B4" s="2" t="s">
        <v>0</v>
      </c>
      <c r="C4" s="11">
        <f>SUM(E4:E8)/$C$6</f>
        <v>0</v>
      </c>
      <c r="D4" s="1" t="s">
        <v>2</v>
      </c>
      <c r="E4" s="12">
        <f>COUNTIF(G:G,D4)</f>
        <v>0</v>
      </c>
      <c r="F4" s="4"/>
      <c r="G4" s="4"/>
      <c r="H4" s="6"/>
      <c r="I4" s="4"/>
      <c r="J4" s="4"/>
      <c r="K4" s="5"/>
      <c r="L4" s="4"/>
      <c r="M4" s="4"/>
      <c r="N4" s="6"/>
      <c r="O4" s="4"/>
      <c r="P4" s="4"/>
      <c r="Q4" s="5"/>
      <c r="R4" s="4"/>
      <c r="S4" s="4"/>
      <c r="T4" s="6"/>
      <c r="U4" s="4"/>
      <c r="V4" s="4"/>
      <c r="W4" s="5"/>
      <c r="X4" s="4"/>
    </row>
    <row r="5" spans="2:26">
      <c r="B5" s="2" t="s">
        <v>16</v>
      </c>
      <c r="C5" s="11">
        <f>SUM(E4:E5)/$C$6</f>
        <v>0</v>
      </c>
      <c r="D5" s="1" t="s">
        <v>3</v>
      </c>
      <c r="E5" s="12">
        <f>COUNTIF(G:G,D5)</f>
        <v>0</v>
      </c>
      <c r="F5" s="4"/>
      <c r="G5" s="4"/>
      <c r="H5" s="6"/>
      <c r="I5" s="4"/>
      <c r="J5" s="4"/>
      <c r="K5" s="5"/>
      <c r="L5" s="4"/>
      <c r="M5" s="4"/>
      <c r="N5" s="6"/>
      <c r="O5" s="4"/>
      <c r="P5" s="4"/>
      <c r="Q5" s="5"/>
      <c r="R5" s="4"/>
      <c r="S5" s="4"/>
      <c r="T5" s="6"/>
      <c r="U5" s="4"/>
      <c r="V5" s="4"/>
      <c r="W5" s="5"/>
      <c r="X5" s="4"/>
    </row>
    <row r="6" spans="2:26">
      <c r="B6" s="2" t="s">
        <v>1</v>
      </c>
      <c r="C6" s="12">
        <f>MAX(B:B)</f>
        <v>10</v>
      </c>
      <c r="D6" s="2" t="s">
        <v>13</v>
      </c>
      <c r="E6" s="12">
        <f t="shared" ref="E6:E8" si="0">COUNTIF(G:G,D6)</f>
        <v>0</v>
      </c>
      <c r="F6" s="4"/>
      <c r="G6" s="4"/>
      <c r="H6" s="6"/>
      <c r="I6" s="4"/>
      <c r="J6" s="4"/>
      <c r="K6" s="5"/>
      <c r="L6" s="4"/>
      <c r="M6" s="4"/>
      <c r="N6" s="6"/>
      <c r="O6" s="4"/>
      <c r="P6" s="4"/>
      <c r="Q6" s="5"/>
      <c r="R6" s="4"/>
      <c r="S6" s="4"/>
      <c r="T6" s="6"/>
      <c r="U6" s="4"/>
      <c r="V6" s="4"/>
      <c r="W6" s="5"/>
      <c r="X6" s="4"/>
    </row>
    <row r="7" spans="2:26">
      <c r="B7" s="1" t="s">
        <v>4</v>
      </c>
      <c r="C7" s="12">
        <f>C6-SUM(E4:E8)</f>
        <v>10</v>
      </c>
      <c r="D7" s="2" t="s">
        <v>14</v>
      </c>
      <c r="E7" s="12">
        <f t="shared" si="0"/>
        <v>0</v>
      </c>
      <c r="F7" s="4"/>
      <c r="G7" s="4"/>
      <c r="H7" s="6"/>
      <c r="I7" s="4"/>
      <c r="J7" s="4"/>
      <c r="K7" s="5"/>
      <c r="L7" s="4"/>
      <c r="M7" s="4"/>
      <c r="N7" s="6"/>
      <c r="O7" s="4"/>
      <c r="P7" s="4"/>
      <c r="Q7" s="5"/>
      <c r="R7" s="4"/>
      <c r="S7" s="4"/>
      <c r="T7" s="6"/>
      <c r="U7" s="4"/>
      <c r="V7" s="4"/>
      <c r="W7" s="5"/>
      <c r="X7" s="4"/>
    </row>
    <row r="8" spans="2:26">
      <c r="D8" s="1" t="s">
        <v>15</v>
      </c>
      <c r="E8" s="12">
        <f t="shared" si="0"/>
        <v>0</v>
      </c>
      <c r="F8" s="4"/>
      <c r="G8" s="4"/>
      <c r="H8" s="6"/>
      <c r="I8" s="4"/>
      <c r="J8" s="4"/>
      <c r="K8" s="5"/>
      <c r="L8" s="4"/>
      <c r="M8" s="4"/>
      <c r="N8" s="6"/>
      <c r="O8" s="4"/>
      <c r="P8" s="4"/>
      <c r="Q8" s="5"/>
      <c r="R8" s="4"/>
      <c r="S8" s="4"/>
      <c r="T8" s="6"/>
      <c r="U8" s="4"/>
      <c r="V8" s="4"/>
      <c r="W8" s="5"/>
      <c r="X8" s="4"/>
    </row>
    <row r="9" spans="2:26">
      <c r="B9" s="9"/>
      <c r="C9" s="9"/>
      <c r="D9" s="10"/>
      <c r="E9" s="9"/>
      <c r="F9" s="9"/>
      <c r="G9" s="9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2:26">
      <c r="B10" s="22" t="s">
        <v>21</v>
      </c>
      <c r="C10" s="20" t="s">
        <v>5</v>
      </c>
      <c r="D10" s="21"/>
      <c r="E10" s="23" t="s">
        <v>6</v>
      </c>
      <c r="F10" s="23" t="s">
        <v>7</v>
      </c>
      <c r="G10" s="25" t="s">
        <v>8</v>
      </c>
      <c r="H10" s="25"/>
      <c r="I10" s="25"/>
      <c r="J10" s="25"/>
      <c r="K10" s="25"/>
    </row>
    <row r="11" spans="2:26">
      <c r="B11" s="22"/>
      <c r="C11" s="19" t="s">
        <v>17</v>
      </c>
      <c r="D11" s="18" t="s">
        <v>18</v>
      </c>
      <c r="E11" s="24"/>
      <c r="F11" s="24"/>
      <c r="G11" s="3" t="s">
        <v>9</v>
      </c>
      <c r="H11" s="3" t="s">
        <v>20</v>
      </c>
      <c r="I11" s="3" t="s">
        <v>10</v>
      </c>
      <c r="J11" s="3" t="s">
        <v>11</v>
      </c>
      <c r="K11" s="3" t="s">
        <v>19</v>
      </c>
    </row>
    <row r="12" spans="2:26">
      <c r="B12" s="13">
        <v>1</v>
      </c>
      <c r="C12" s="14"/>
      <c r="D12" s="15"/>
      <c r="E12" s="16"/>
      <c r="F12" s="16"/>
      <c r="G12" s="17"/>
      <c r="H12" s="17"/>
      <c r="I12" s="17"/>
      <c r="J12" s="17"/>
      <c r="K12" s="17"/>
    </row>
    <row r="13" spans="2:26">
      <c r="B13" s="13">
        <v>2</v>
      </c>
      <c r="C13" s="14"/>
      <c r="D13" s="15"/>
      <c r="E13" s="16"/>
      <c r="F13" s="16"/>
      <c r="G13" s="17"/>
      <c r="H13" s="17"/>
      <c r="I13" s="17"/>
      <c r="J13" s="17"/>
      <c r="K13" s="17"/>
    </row>
    <row r="14" spans="2:26">
      <c r="B14" s="13">
        <v>3</v>
      </c>
      <c r="C14" s="14"/>
      <c r="D14" s="15"/>
      <c r="E14" s="16"/>
      <c r="F14" s="16"/>
      <c r="G14" s="17"/>
      <c r="H14" s="17"/>
      <c r="I14" s="17"/>
      <c r="J14" s="17"/>
      <c r="K14" s="17"/>
    </row>
    <row r="15" spans="2:26">
      <c r="B15" s="13">
        <v>4</v>
      </c>
      <c r="C15" s="14"/>
      <c r="D15" s="15"/>
      <c r="E15" s="16"/>
      <c r="F15" s="16"/>
      <c r="G15" s="17"/>
      <c r="H15" s="17"/>
      <c r="I15" s="17"/>
      <c r="J15" s="17"/>
      <c r="K15" s="17"/>
    </row>
    <row r="16" spans="2:26">
      <c r="B16" s="13">
        <v>5</v>
      </c>
      <c r="C16" s="14"/>
      <c r="D16" s="15"/>
      <c r="E16" s="16"/>
      <c r="F16" s="16"/>
      <c r="G16" s="17"/>
      <c r="H16" s="17"/>
      <c r="I16" s="17"/>
      <c r="J16" s="17"/>
      <c r="K16" s="17"/>
    </row>
    <row r="17" spans="2:11">
      <c r="B17" s="13">
        <v>6</v>
      </c>
      <c r="C17" s="14"/>
      <c r="D17" s="15"/>
      <c r="E17" s="16"/>
      <c r="F17" s="16"/>
      <c r="G17" s="17"/>
      <c r="H17" s="17"/>
      <c r="I17" s="17"/>
      <c r="J17" s="17"/>
      <c r="K17" s="17"/>
    </row>
    <row r="18" spans="2:11">
      <c r="B18" s="13">
        <v>7</v>
      </c>
      <c r="C18" s="14"/>
      <c r="D18" s="15"/>
      <c r="E18" s="16"/>
      <c r="F18" s="16"/>
      <c r="G18" s="17"/>
      <c r="H18" s="17"/>
      <c r="I18" s="17"/>
      <c r="J18" s="17"/>
      <c r="K18" s="17"/>
    </row>
    <row r="19" spans="2:11">
      <c r="B19" s="13">
        <v>8</v>
      </c>
      <c r="C19" s="14"/>
      <c r="D19" s="15"/>
      <c r="E19" s="16"/>
      <c r="F19" s="16"/>
      <c r="G19" s="17"/>
      <c r="H19" s="17"/>
      <c r="I19" s="17"/>
      <c r="J19" s="17"/>
      <c r="K19" s="17"/>
    </row>
    <row r="20" spans="2:11">
      <c r="B20" s="13">
        <v>9</v>
      </c>
      <c r="C20" s="14"/>
      <c r="D20" s="15"/>
      <c r="E20" s="16"/>
      <c r="F20" s="16"/>
      <c r="G20" s="17"/>
      <c r="H20" s="17"/>
      <c r="I20" s="17"/>
      <c r="J20" s="17"/>
      <c r="K20" s="17"/>
    </row>
    <row r="21" spans="2:11">
      <c r="B21" s="13">
        <v>10</v>
      </c>
      <c r="C21" s="14"/>
      <c r="D21" s="15"/>
      <c r="E21" s="16"/>
      <c r="F21" s="16"/>
      <c r="G21" s="17"/>
      <c r="H21" s="17"/>
      <c r="I21" s="17"/>
      <c r="J21" s="17"/>
      <c r="K21" s="17"/>
    </row>
  </sheetData>
  <mergeCells count="5">
    <mergeCell ref="C10:D10"/>
    <mergeCell ref="B10:B11"/>
    <mergeCell ref="E10:E11"/>
    <mergeCell ref="F10:F11"/>
    <mergeCell ref="G10:K10"/>
  </mergeCells>
  <phoneticPr fontId="45"/>
  <dataValidations count="1">
    <dataValidation type="list" allowBlank="1" showInputMessage="1" showErrorMessage="1" sqref="G12:G21">
      <formula1>$D$4:$D$8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E38" sqref="E38"/>
    </sheetView>
  </sheetViews>
  <sheetFormatPr defaultRowHeight="13.5"/>
  <sheetData/>
  <phoneticPr fontId="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0" sqref="E10"/>
    </sheetView>
  </sheetViews>
  <sheetFormatPr defaultRowHeight="13.5"/>
  <sheetData/>
  <phoneticPr fontId="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2018-07-08T14:41:41Z</dcterms:modified>
</cp:coreProperties>
</file>